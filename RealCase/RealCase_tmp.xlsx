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rogramming\python\Multioutput_FixedG_GP\RealCase\"/>
    </mc:Choice>
  </mc:AlternateContent>
  <xr:revisionPtr revIDLastSave="0" documentId="13_ncr:1_{9645B33B-5531-42C8-9637-E33A34F081C3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AB3" i="1"/>
  <c r="AC3" i="1"/>
  <c r="AD3" i="1"/>
  <c r="S3" i="1"/>
  <c r="V3" i="1"/>
  <c r="T3" i="1"/>
  <c r="AG3" i="1"/>
  <c r="AF3" i="1"/>
  <c r="AA3" i="1"/>
  <c r="Z3" i="1"/>
  <c r="Y3" i="1"/>
  <c r="W3" i="1"/>
  <c r="U3" i="1"/>
  <c r="R3" i="1"/>
  <c r="P3" i="1"/>
  <c r="N3" i="1"/>
  <c r="L3" i="1"/>
  <c r="K3" i="1"/>
  <c r="J3" i="1"/>
  <c r="I3" i="1"/>
  <c r="H3" i="1"/>
  <c r="D3" i="1"/>
  <c r="C3" i="1"/>
  <c r="B3" i="1"/>
  <c r="G3" i="1"/>
  <c r="F3" i="1"/>
  <c r="E3" i="1"/>
</calcChain>
</file>

<file path=xl/sharedStrings.xml><?xml version="1.0" encoding="utf-8"?>
<sst xmlns="http://schemas.openxmlformats.org/spreadsheetml/2006/main" count="99" uniqueCount="51">
  <si>
    <t>Volume</t>
  </si>
  <si>
    <t>cir-Basal-InfSept</t>
  </si>
  <si>
    <t>cir-Basal-AntSept</t>
  </si>
  <si>
    <t>cir-Basal-Ant</t>
  </si>
  <si>
    <t>cir-Basal-AntLat</t>
  </si>
  <si>
    <t>cir-Basal-InfLat</t>
  </si>
  <si>
    <t>cir-Basal-Inf</t>
  </si>
  <si>
    <t>cir-Mid-InfSept</t>
  </si>
  <si>
    <t>cir-Mid-AntSept</t>
  </si>
  <si>
    <t>cir-Mid-Ant</t>
  </si>
  <si>
    <t>cir-Mid-AntLat</t>
  </si>
  <si>
    <t>cir-Mid-InfLat</t>
  </si>
  <si>
    <t>cir-Mid-Inf</t>
  </si>
  <si>
    <t>cir-Apical-Septal</t>
  </si>
  <si>
    <t>cir-Apical-Anterior</t>
  </si>
  <si>
    <t>cir-Apical-Lateral</t>
  </si>
  <si>
    <t>cir-Apical-Inferior</t>
  </si>
  <si>
    <t>rad-Basal-InfSept</t>
  </si>
  <si>
    <t>rad-Basal-AntSept</t>
  </si>
  <si>
    <t>rad-Basal-Ant</t>
  </si>
  <si>
    <t>rad-Basal-AntLat</t>
  </si>
  <si>
    <t>rad-Basal-InfLat</t>
  </si>
  <si>
    <t>rad-Basal-Inf</t>
  </si>
  <si>
    <t>rad-Mid-InfSept</t>
  </si>
  <si>
    <t>rad-Mid-AntSept</t>
  </si>
  <si>
    <t>rad-Mid-Ant</t>
  </si>
  <si>
    <t>rad-Mid-AntLat</t>
  </si>
  <si>
    <t>rad-Mid-InfLat</t>
  </si>
  <si>
    <t>rad-Mid-Inf</t>
  </si>
  <si>
    <t>rad-Apical-Septal</t>
  </si>
  <si>
    <t>rad-Apical-Anterior</t>
  </si>
  <si>
    <t>rad-Apical-Lateral</t>
  </si>
  <si>
    <t>rad-Apical-Inferior</t>
  </si>
  <si>
    <t>cirInfSeptTotal</t>
  </si>
  <si>
    <t>cirAntSeptTotal</t>
  </si>
  <si>
    <t>cirAntTotal</t>
  </si>
  <si>
    <t>cirAntLatTotal</t>
  </si>
  <si>
    <t>cirInfLatTotal</t>
  </si>
  <si>
    <t>cirInfTotal</t>
  </si>
  <si>
    <t>radInfSeptTotal</t>
  </si>
  <si>
    <t>radAntSeptTotal</t>
  </si>
  <si>
    <t>radAntTotal</t>
  </si>
  <si>
    <t>radAntLatTotal</t>
  </si>
  <si>
    <t>radInfLatTotal</t>
  </si>
  <si>
    <t>radInfTotal</t>
  </si>
  <si>
    <t>0.8089102661629854</t>
  </si>
  <si>
    <t>0.7070337027079695</t>
  </si>
  <si>
    <t>0.4681965019775495</t>
  </si>
  <si>
    <t>0.44212072382407097</t>
  </si>
  <si>
    <t>0.3190993478138445</t>
  </si>
  <si>
    <t>0.34949561821993447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</si>
</sst>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0" fontId="0" fillId="0" borderId="0" xfId="0" quotePrefix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41"/>
  <sheetViews>
    <sheetView tabSelected="1" zoomScaleNormal="100" workbookViewId="0">
      <selection activeCell="A2" sqref="A2:XFD2"/>
    </sheetView>
  </sheetViews>
  <sheetFormatPr defaultRowHeight="13.8" x14ac:dyDescent="0.25"/>
  <cols>
    <col min="2" max="2" width="17" customWidth="1"/>
    <col min="3" max="3" width="15.77734375" customWidth="1"/>
    <col min="5" max="5" width="15.6640625" customWidth="1"/>
    <col min="7" max="7" width="12.6640625" customWidth="1"/>
    <col min="8" max="8" width="10.77734375" customWidth="1"/>
    <col min="11" max="11" width="13.77734375" customWidth="1"/>
    <col min="12" max="12" width="14.33203125" customWidth="1"/>
    <col min="13" max="13" width="16" customWidth="1"/>
    <col min="14" max="14" width="15" customWidth="1"/>
    <col min="15" max="15" width="18.44140625" customWidth="1"/>
    <col min="16" max="16" width="11.33203125" customWidth="1"/>
    <col min="17" max="17" width="21.109375" customWidth="1"/>
    <col min="18" max="18" width="19.6640625" customWidth="1"/>
    <col min="19" max="19" width="16" customWidth="1"/>
    <col min="20" max="20" width="14" customWidth="1"/>
    <col min="21" max="21" width="16.44140625" customWidth="1"/>
    <col min="22" max="22" width="16.21875" customWidth="1"/>
    <col min="23" max="23" width="19.21875" customWidth="1"/>
    <col min="24" max="24" width="19" customWidth="1"/>
    <col min="25" max="25" width="18.109375" customWidth="1"/>
    <col min="26" max="26" width="17.5546875" customWidth="1"/>
    <col min="27" max="27" width="17" customWidth="1"/>
    <col min="28" max="28" width="14.77734375" customWidth="1"/>
    <col min="29" max="29" width="13.88671875" customWidth="1"/>
    <col min="30" max="30" width="14.88671875" customWidth="1"/>
    <col min="31" max="31" width="19.33203125" customWidth="1"/>
    <col min="35" max="35" width="15.44140625" customWidth="1"/>
  </cols>
  <sheetData>
    <row r="1" spans="1:4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41" x14ac:dyDescent="0.25">
      <c r="A2" s="1">
        <v>180.97790000000001</v>
      </c>
      <c r="B2">
        <v>-0.1298144236441415</v>
      </c>
      <c r="C2">
        <v>-0.15870465433855449</v>
      </c>
      <c r="D2">
        <v>-0.15291316831166502</v>
      </c>
      <c r="E2">
        <v>-0.180692354840778</v>
      </c>
      <c r="F2">
        <v>-0.17743227365431402</v>
      </c>
      <c r="G2">
        <v>-0.13475803185135848</v>
      </c>
      <c r="H2">
        <v>-0.15474664748465899</v>
      </c>
      <c r="I2">
        <v>-0.14365198024445999</v>
      </c>
      <c r="J2">
        <v>-0.1025913863620049</v>
      </c>
      <c r="K2">
        <v>-0.1203768303718955</v>
      </c>
      <c r="L2">
        <v>-0.16174492220585601</v>
      </c>
      <c r="M2">
        <v>-6.2343831794440405E-2</v>
      </c>
      <c r="N2">
        <v>-0.14572084009398001</v>
      </c>
      <c r="O2">
        <v>-0.102146911609531</v>
      </c>
      <c r="P2">
        <v>-0.14487987425018001</v>
      </c>
      <c r="Q2">
        <v>-9.66448141180236E-2</v>
      </c>
      <c r="R2">
        <v>0.34145148052682001</v>
      </c>
      <c r="S2">
        <v>0.47752260469046931</v>
      </c>
      <c r="T2">
        <v>0.53291500102565204</v>
      </c>
      <c r="U2">
        <v>0.56041516237343947</v>
      </c>
      <c r="V2">
        <v>0.56312403648752352</v>
      </c>
      <c r="W2">
        <v>0.39379579386633246</v>
      </c>
      <c r="X2">
        <v>0.37204046246732497</v>
      </c>
      <c r="Y2">
        <v>0.31909934781384452</v>
      </c>
      <c r="Z2">
        <v>0.51925087263129299</v>
      </c>
      <c r="AA2">
        <v>0.43312320004481797</v>
      </c>
      <c r="AB2">
        <v>0.45066042615280771</v>
      </c>
      <c r="AC2">
        <v>0.24240896199339282</v>
      </c>
      <c r="AD2">
        <v>0.320195551760043</v>
      </c>
      <c r="AE2">
        <v>0.36900618812931801</v>
      </c>
      <c r="AF2">
        <v>0.44853826246276296</v>
      </c>
      <c r="AG2">
        <v>0.27196788449629633</v>
      </c>
    </row>
    <row r="3" spans="1:41" x14ac:dyDescent="0.25">
      <c r="B3">
        <f>AVERAGE(B41,B21)</f>
        <v>-0.1298144236441415</v>
      </c>
      <c r="C3">
        <f>AVERAGE(C21,C39)</f>
        <v>-0.15870465433855449</v>
      </c>
      <c r="D3">
        <f>AVERAGE(D18,D37)</f>
        <v>-0.15291316831166502</v>
      </c>
      <c r="E3">
        <f>AVERAGE(E20,E40)</f>
        <v>-0.180692354840778</v>
      </c>
      <c r="F3">
        <f>AVERAGE(F21,F41)</f>
        <v>-0.17743227365431402</v>
      </c>
      <c r="G3">
        <f>AVERAGE(G21,G41)</f>
        <v>-0.13475803185135848</v>
      </c>
      <c r="H3">
        <f>AVERAGE(P17,P41)</f>
        <v>-0.15474664748465899</v>
      </c>
      <c r="I3">
        <f>AVERAGE(Q37,Q17)</f>
        <v>-0.14365198024445999</v>
      </c>
      <c r="J3">
        <f>AVERAGE(R37,R17)</f>
        <v>-0.1025913863620049</v>
      </c>
      <c r="K3">
        <f>AVERAGE(S18,S38)</f>
        <v>-0.1203768303718955</v>
      </c>
      <c r="L3">
        <f>AVERAGE(T18)</f>
        <v>-0.16174492220585601</v>
      </c>
      <c r="M3">
        <f>AVERAGE(U37,U15)</f>
        <v>-6.2343831794440405E-2</v>
      </c>
      <c r="N3">
        <f>AVERAGE(AD27,AE27)</f>
        <v>-0.14572084009398001</v>
      </c>
      <c r="O3" s="1">
        <v>-0.102146911609531</v>
      </c>
      <c r="P3">
        <f>AVERAGE(AG26,AH26)</f>
        <v>-0.14487987425018001</v>
      </c>
      <c r="Q3" s="1">
        <v>-9.66448141180236E-2</v>
      </c>
      <c r="R3">
        <f>AVERAGE(H41)</f>
        <v>0.34145148052682001</v>
      </c>
      <c r="S3">
        <f>AVERAGE(I21,I40:I41)</f>
        <v>0.47752260469046931</v>
      </c>
      <c r="T3">
        <f>AVERAGE(J40,J41)</f>
        <v>0.53291500102565204</v>
      </c>
      <c r="U3">
        <f>AVERAGE(K21,K41)</f>
        <v>0.56041516237343947</v>
      </c>
      <c r="V3">
        <f>AVERAGE(L21,L41)</f>
        <v>0.56312403648752352</v>
      </c>
      <c r="W3">
        <f>AVERAGE(M18,M41)</f>
        <v>0.39379579386633246</v>
      </c>
      <c r="X3" s="1">
        <v>0.37204046246732497</v>
      </c>
      <c r="Y3">
        <f>AVERAGE(W17,W37)</f>
        <v>0.31909934781384452</v>
      </c>
      <c r="Z3">
        <f>AVERAGE(X17,X38)</f>
        <v>0.51925087263129299</v>
      </c>
      <c r="AA3">
        <f>AVERAGE(Y17,Y38)</f>
        <v>0.43312320004481797</v>
      </c>
      <c r="AB3">
        <f>AVERAGE(Z17:Z18,Z39)</f>
        <v>0.45066042615280771</v>
      </c>
      <c r="AC3">
        <f>AVERAGE(AA19:AA21,AA40:AA41)</f>
        <v>0.24240896199339282</v>
      </c>
      <c r="AD3">
        <f>AVERAGE(AJ28,AK28)</f>
        <v>0.320195551760043</v>
      </c>
      <c r="AE3" s="1">
        <v>0.36900618812931801</v>
      </c>
      <c r="AF3">
        <f>AVERAGE(AM29,AN29)</f>
        <v>0.44853826246276296</v>
      </c>
      <c r="AG3">
        <f>AVERAGE(AO29:AO31)</f>
        <v>0.27196788449629633</v>
      </c>
    </row>
    <row r="4" spans="1:41" s="1" customFormat="1" x14ac:dyDescent="0.25">
      <c r="A4" s="1">
        <v>180.97790000000001</v>
      </c>
      <c r="B4" s="1">
        <v>-0.146815537</v>
      </c>
      <c r="C4" s="1">
        <v>-0.16797051900000001</v>
      </c>
      <c r="D4" s="1">
        <v>-0.15291316799999999</v>
      </c>
      <c r="E4" s="1">
        <v>-0.180692355</v>
      </c>
      <c r="F4" s="1">
        <v>-0.177432274</v>
      </c>
      <c r="G4" s="1">
        <v>-0.13268121399999999</v>
      </c>
      <c r="H4" s="1">
        <v>-0.14933455000000001</v>
      </c>
      <c r="I4" s="1">
        <v>-0.14365198000000001</v>
      </c>
      <c r="J4" s="1">
        <v>-0.106038587</v>
      </c>
      <c r="K4" s="1">
        <v>-0.12037683</v>
      </c>
      <c r="L4" s="1">
        <v>-0.16174492200000001</v>
      </c>
      <c r="M4" s="1">
        <v>-6.7576723000000005E-2</v>
      </c>
      <c r="N4" s="1">
        <v>-0.14572083999999999</v>
      </c>
      <c r="O4" s="1">
        <v>-9.5052552999999998E-2</v>
      </c>
      <c r="P4" s="1">
        <v>-0.12116706300000001</v>
      </c>
      <c r="Q4" s="1">
        <v>-9.6644813999999996E-2</v>
      </c>
      <c r="R4" s="1">
        <v>0.341451481</v>
      </c>
      <c r="S4" s="1">
        <v>0.54125611500000004</v>
      </c>
      <c r="T4" s="1">
        <v>0.74887157400000004</v>
      </c>
      <c r="U4" s="2" t="s">
        <v>45</v>
      </c>
      <c r="V4" s="2" t="s">
        <v>46</v>
      </c>
      <c r="W4" s="2" t="s">
        <v>47</v>
      </c>
      <c r="X4" s="2" t="s">
        <v>48</v>
      </c>
      <c r="Y4" s="2" t="s">
        <v>49</v>
      </c>
      <c r="Z4" s="1">
        <v>0.51925087299999995</v>
      </c>
      <c r="AA4" s="1">
        <v>0.41062556500000003</v>
      </c>
      <c r="AB4" s="1">
        <v>0.52502853800000004</v>
      </c>
      <c r="AC4" s="2" t="s">
        <v>50</v>
      </c>
      <c r="AD4" s="1">
        <v>0.32019555199999999</v>
      </c>
      <c r="AE4" s="1">
        <v>0.59375197099999999</v>
      </c>
      <c r="AF4" s="1">
        <v>0.55824401000000001</v>
      </c>
      <c r="AG4" s="1">
        <v>0.34619525499999998</v>
      </c>
    </row>
    <row r="5" spans="1:41" x14ac:dyDescent="0.25"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  <c r="I5" s="1" t="s">
        <v>40</v>
      </c>
      <c r="J5" s="1" t="s">
        <v>41</v>
      </c>
      <c r="K5" s="1" t="s">
        <v>42</v>
      </c>
      <c r="L5" s="1" t="s">
        <v>43</v>
      </c>
      <c r="M5" s="1" t="s">
        <v>44</v>
      </c>
      <c r="P5" s="1" t="s">
        <v>33</v>
      </c>
      <c r="Q5" s="1" t="s">
        <v>34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40</v>
      </c>
      <c r="X5" s="1" t="s">
        <v>41</v>
      </c>
      <c r="Y5" s="1" t="s">
        <v>42</v>
      </c>
      <c r="Z5" s="1" t="s">
        <v>43</v>
      </c>
      <c r="AA5" s="1" t="s">
        <v>44</v>
      </c>
    </row>
    <row r="6" spans="1:41" x14ac:dyDescent="0.25"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</row>
    <row r="7" spans="1:41" x14ac:dyDescent="0.25">
      <c r="B7" s="1">
        <v>-1.0753345530139799E-2</v>
      </c>
      <c r="C7" s="1">
        <v>-2.9513981974939901E-2</v>
      </c>
      <c r="D7" s="1">
        <v>-1.2718924195612699E-2</v>
      </c>
      <c r="E7" s="1">
        <v>1.1269391556594699E-2</v>
      </c>
      <c r="F7" s="1">
        <v>-3.3786858687217701E-3</v>
      </c>
      <c r="G7" s="1">
        <v>-6.5693965978585499E-3</v>
      </c>
      <c r="H7" s="1">
        <v>4.49072398373825E-3</v>
      </c>
      <c r="I7" s="1">
        <v>4.1791616061009902E-2</v>
      </c>
      <c r="J7" s="1">
        <v>7.3689804709857601E-2</v>
      </c>
      <c r="K7" s="1">
        <v>-1.4774919241929601E-2</v>
      </c>
      <c r="L7" s="1">
        <v>8.9292759799817194E-3</v>
      </c>
      <c r="M7" s="1">
        <v>2.3259530066006801E-2</v>
      </c>
      <c r="P7" s="1">
        <v>1.4335381417278201E-3</v>
      </c>
      <c r="Q7" s="1">
        <v>-1.35283102739509E-2</v>
      </c>
      <c r="R7" s="1">
        <v>-2.6141584705637799E-3</v>
      </c>
      <c r="S7" s="1">
        <v>-8.3874763251896006E-3</v>
      </c>
      <c r="T7" s="1">
        <v>3.5987692820330201E-3</v>
      </c>
      <c r="U7" s="1">
        <v>2.7268070608945701E-3</v>
      </c>
      <c r="V7" s="1">
        <v>2.64271959344935E-2</v>
      </c>
      <c r="W7" s="1">
        <v>2.7594352349748899E-2</v>
      </c>
      <c r="X7" s="1">
        <v>2.7685226539665E-2</v>
      </c>
      <c r="Y7" s="1">
        <v>3.7766396440143998E-2</v>
      </c>
      <c r="Z7" s="1">
        <v>3.3254558379296001E-2</v>
      </c>
      <c r="AA7" s="1">
        <v>1.4346170453747999E-2</v>
      </c>
    </row>
    <row r="8" spans="1:41" x14ac:dyDescent="0.25">
      <c r="B8" s="1">
        <v>-3.33483145086012E-2</v>
      </c>
      <c r="C8" s="1">
        <v>-7.5950889933237897E-2</v>
      </c>
      <c r="D8" s="1">
        <v>-2.7664667049870501E-2</v>
      </c>
      <c r="E8" s="1">
        <v>5.2454829043128703E-3</v>
      </c>
      <c r="F8" s="1">
        <v>-1.6654960783503099E-2</v>
      </c>
      <c r="G8" s="1">
        <v>-1.6821180711558699E-2</v>
      </c>
      <c r="H8" s="1">
        <v>2.34390430436201E-2</v>
      </c>
      <c r="I8" s="1">
        <v>9.9272915761083602E-2</v>
      </c>
      <c r="J8" s="1">
        <v>0.17287030962824601</v>
      </c>
      <c r="K8" s="1">
        <v>-3.2995373153990197E-2</v>
      </c>
      <c r="L8" s="1">
        <v>-3.7186359837986902E-3</v>
      </c>
      <c r="M8" s="1">
        <v>7.4482861183369706E-2</v>
      </c>
      <c r="P8" s="1">
        <v>-5.5925970218473004E-3</v>
      </c>
      <c r="Q8" s="1">
        <v>-4.3548879476860598E-2</v>
      </c>
      <c r="R8" s="1">
        <v>-1.41859083787196E-2</v>
      </c>
      <c r="S8" s="1">
        <v>-2.0714564990581601E-2</v>
      </c>
      <c r="T8" s="1">
        <v>1.1911979316925299E-3</v>
      </c>
      <c r="U8" s="1">
        <v>-6.9826561496279596E-3</v>
      </c>
      <c r="V8" s="1">
        <v>7.4855492923552702E-2</v>
      </c>
      <c r="W8" s="1">
        <v>6.9767700639516303E-2</v>
      </c>
      <c r="X8" s="1">
        <v>7.8975902988840996E-2</v>
      </c>
      <c r="Y8" s="1">
        <v>6.9477929275347905E-2</v>
      </c>
      <c r="Z8" s="1">
        <v>7.3451233306666697E-2</v>
      </c>
      <c r="AA8" s="1">
        <v>4.7580180352244199E-2</v>
      </c>
    </row>
    <row r="9" spans="1:41" x14ac:dyDescent="0.25">
      <c r="B9" s="1">
        <v>-5.45428865638855E-2</v>
      </c>
      <c r="C9" s="1">
        <v>-0.106252830028746</v>
      </c>
      <c r="D9" s="1">
        <v>-4.8778699260718802E-2</v>
      </c>
      <c r="E9" s="1">
        <v>-2.9776083542688001E-2</v>
      </c>
      <c r="F9" s="1">
        <v>-4.6160027854670597E-2</v>
      </c>
      <c r="G9" s="1">
        <v>-3.6117495841398603E-2</v>
      </c>
      <c r="H9" s="1">
        <v>3.6514104847487398E-2</v>
      </c>
      <c r="I9" s="1">
        <v>0.151670294925278</v>
      </c>
      <c r="J9" s="1">
        <v>0.27942422328084499</v>
      </c>
      <c r="K9" s="1">
        <v>-1.4093331753022E-2</v>
      </c>
      <c r="L9" s="1">
        <v>1.51923515393991E-2</v>
      </c>
      <c r="M9" s="1">
        <v>0.130886706000723</v>
      </c>
      <c r="P9" s="1">
        <v>-2.5943678866489898E-2</v>
      </c>
      <c r="Q9" s="1">
        <v>-7.8182183897023805E-2</v>
      </c>
      <c r="R9" s="1">
        <v>-2.5221762577869799E-2</v>
      </c>
      <c r="S9" s="1">
        <v>-4.3130612069640403E-2</v>
      </c>
      <c r="T9" s="1">
        <v>-2.7539922906672301E-2</v>
      </c>
      <c r="U9" s="1">
        <v>-2.4076379710996298E-2</v>
      </c>
      <c r="V9" s="1">
        <v>0.12009013539215201</v>
      </c>
      <c r="W9" s="1">
        <v>9.2063047318103094E-2</v>
      </c>
      <c r="X9" s="1">
        <v>0.151074968035007</v>
      </c>
      <c r="Y9" s="1">
        <v>0.119132189434471</v>
      </c>
      <c r="Z9" s="1">
        <v>0.128260611004617</v>
      </c>
      <c r="AA9" s="1">
        <v>9.1082290384768297E-2</v>
      </c>
    </row>
    <row r="10" spans="1:41" x14ac:dyDescent="0.25">
      <c r="B10" s="1">
        <v>-7.3901309632367296E-2</v>
      </c>
      <c r="C10" s="1">
        <v>-0.123493963415201</v>
      </c>
      <c r="D10" s="1">
        <v>-7.7454000127778297E-2</v>
      </c>
      <c r="E10" s="1">
        <v>-7.4693760868043205E-2</v>
      </c>
      <c r="F10" s="1">
        <v>-8.1133498147965499E-2</v>
      </c>
      <c r="G10" s="1">
        <v>-4.7189405999321699E-2</v>
      </c>
      <c r="H10" s="1">
        <v>5.0306838131973598E-2</v>
      </c>
      <c r="I10" s="1">
        <v>0.19964219897794999</v>
      </c>
      <c r="J10" s="1">
        <v>0.38779886226369098</v>
      </c>
      <c r="K10" s="1">
        <v>3.1147414944607401E-2</v>
      </c>
      <c r="L10" s="1">
        <v>6.3714118733485106E-2</v>
      </c>
      <c r="M10" s="1">
        <v>0.18223323975205999</v>
      </c>
      <c r="P10" s="1">
        <v>-5.6806784401931897E-2</v>
      </c>
      <c r="Q10" s="1">
        <v>-0.105793199831447</v>
      </c>
      <c r="R10" s="1">
        <v>-5.3534387222441998E-2</v>
      </c>
      <c r="S10" s="1">
        <v>-6.3106133135556103E-2</v>
      </c>
      <c r="T10" s="1">
        <v>-6.08241118099314E-2</v>
      </c>
      <c r="U10" s="1">
        <v>-3.6817336931826601E-2</v>
      </c>
      <c r="V10" s="1">
        <v>0.178598115315866</v>
      </c>
      <c r="W10" s="1">
        <v>0.14145935846507501</v>
      </c>
      <c r="X10" s="1">
        <v>0.22378297397268401</v>
      </c>
      <c r="Y10" s="1">
        <v>0.17141552691186199</v>
      </c>
      <c r="Z10" s="1">
        <v>0.17396634480999301</v>
      </c>
      <c r="AA10" s="1">
        <v>0.137557867841309</v>
      </c>
    </row>
    <row r="11" spans="1:41" x14ac:dyDescent="0.25">
      <c r="B11" s="1">
        <v>-9.2986642092633201E-2</v>
      </c>
      <c r="C11" s="1">
        <v>-0.13252130265009299</v>
      </c>
      <c r="D11" s="1">
        <v>-0.105184315141734</v>
      </c>
      <c r="E11" s="1">
        <v>-0.119509314301363</v>
      </c>
      <c r="F11" s="1">
        <v>-0.111830688740297</v>
      </c>
      <c r="G11" s="1">
        <v>-5.1216944658674102E-2</v>
      </c>
      <c r="H11" s="1">
        <v>4.8679295986183903E-2</v>
      </c>
      <c r="I11" s="1">
        <v>0.26240890441514703</v>
      </c>
      <c r="J11" s="1">
        <v>0.54287884225601302</v>
      </c>
      <c r="K11" s="1">
        <v>0.111632884699698</v>
      </c>
      <c r="L11" s="1">
        <v>0.13127980256824801</v>
      </c>
      <c r="M11" s="1">
        <v>0.238011895077059</v>
      </c>
      <c r="P11" s="1">
        <v>-9.2624872471779696E-2</v>
      </c>
      <c r="Q11" s="1">
        <v>-0.12874657732435399</v>
      </c>
      <c r="R11" s="1">
        <v>-8.7233457891179603E-2</v>
      </c>
      <c r="S11" s="1">
        <v>-8.0931679970069698E-2</v>
      </c>
      <c r="T11" s="1">
        <v>-9.3497356885006294E-2</v>
      </c>
      <c r="U11" s="1">
        <v>-4.7252139180294798E-2</v>
      </c>
      <c r="V11" s="1">
        <v>0.24136862194271799</v>
      </c>
      <c r="W11" s="1">
        <v>0.19545170795358599</v>
      </c>
      <c r="X11" s="1">
        <v>0.30380513701770501</v>
      </c>
      <c r="Y11" s="1">
        <v>0.21982687017824601</v>
      </c>
      <c r="Z11" s="1">
        <v>0.23872581545392299</v>
      </c>
      <c r="AA11" s="1">
        <v>0.19729409369739401</v>
      </c>
    </row>
    <row r="12" spans="1:41" x14ac:dyDescent="0.25">
      <c r="B12" s="1">
        <v>-0.107164307025451</v>
      </c>
      <c r="C12" s="1">
        <v>-0.13689783962339599</v>
      </c>
      <c r="D12" s="1">
        <v>-0.12786626201548401</v>
      </c>
      <c r="E12" s="1">
        <v>-0.151507350627408</v>
      </c>
      <c r="F12" s="1">
        <v>-0.144490425340566</v>
      </c>
      <c r="G12" s="1">
        <v>-5.2293567652558402E-2</v>
      </c>
      <c r="H12" s="1">
        <v>1.7639587921842202E-2</v>
      </c>
      <c r="I12" s="1">
        <v>0.31147922651410798</v>
      </c>
      <c r="J12" s="1">
        <v>0.70431213720777397</v>
      </c>
      <c r="K12" s="1">
        <v>0.22537014091997801</v>
      </c>
      <c r="L12" s="1">
        <v>0.19923541351680399</v>
      </c>
      <c r="M12" s="1">
        <v>0.27921234546248402</v>
      </c>
      <c r="P12" s="1">
        <v>-0.122602233764151</v>
      </c>
      <c r="Q12" s="1">
        <v>-0.146378100968935</v>
      </c>
      <c r="R12" s="1">
        <v>-0.115658135749571</v>
      </c>
      <c r="S12" s="1">
        <v>-9.6688024962654898E-2</v>
      </c>
      <c r="T12" s="1">
        <v>-0.12775894485401201</v>
      </c>
      <c r="U12" s="1">
        <v>-5.6261229757289803E-2</v>
      </c>
      <c r="V12" s="1">
        <v>0.31382447259160401</v>
      </c>
      <c r="W12" s="1">
        <v>0.23735757686540401</v>
      </c>
      <c r="X12" s="1">
        <v>0.40109820722172101</v>
      </c>
      <c r="Y12" s="1">
        <v>0.28822677865430102</v>
      </c>
      <c r="Z12" s="1">
        <v>0.30941011894858</v>
      </c>
      <c r="AA12" s="1">
        <v>0.265406037629558</v>
      </c>
    </row>
    <row r="13" spans="1:41" x14ac:dyDescent="0.25">
      <c r="B13" s="1">
        <v>-0.11262984567313</v>
      </c>
      <c r="C13" s="1">
        <v>-0.13926122961440199</v>
      </c>
      <c r="D13" s="1">
        <v>-0.14480934221736899</v>
      </c>
      <c r="E13" s="1">
        <v>-0.17809806567854899</v>
      </c>
      <c r="F13" s="1">
        <v>-0.17050004916315001</v>
      </c>
      <c r="G13" s="1">
        <v>-5.3574510960548202E-2</v>
      </c>
      <c r="H13" s="1">
        <v>3.2746352786271402E-3</v>
      </c>
      <c r="I13" s="1">
        <v>0.34678212864710301</v>
      </c>
      <c r="J13" s="1">
        <v>0.83218945086620599</v>
      </c>
      <c r="K13" s="1">
        <v>0.34709530226532898</v>
      </c>
      <c r="L13" s="1">
        <v>0.245555036606144</v>
      </c>
      <c r="M13" s="1">
        <v>0.30968954832793999</v>
      </c>
      <c r="P13" s="1">
        <v>-0.14457915166273999</v>
      </c>
      <c r="Q13" s="1">
        <v>-0.16274139214637101</v>
      </c>
      <c r="R13" s="1">
        <v>-0.129299161710349</v>
      </c>
      <c r="S13" s="1">
        <v>-0.113652415773056</v>
      </c>
      <c r="T13" s="1">
        <v>-0.150859151346139</v>
      </c>
      <c r="U13" s="1">
        <v>-6.2594466684841393E-2</v>
      </c>
      <c r="V13" s="1">
        <v>0.39154385792047203</v>
      </c>
      <c r="W13" s="1">
        <v>0.27027316403183299</v>
      </c>
      <c r="X13" s="1">
        <v>0.48758284042106498</v>
      </c>
      <c r="Y13" s="1">
        <v>0.34291434736653498</v>
      </c>
      <c r="Z13" s="1">
        <v>0.37847040225698098</v>
      </c>
      <c r="AA13" s="1">
        <v>0.33393085072394701</v>
      </c>
    </row>
    <row r="14" spans="1:41" x14ac:dyDescent="0.25">
      <c r="B14" s="1">
        <v>-0.111800745319228</v>
      </c>
      <c r="C14" s="1">
        <v>-0.14366363274298799</v>
      </c>
      <c r="D14" s="1">
        <v>-0.15691145034633699</v>
      </c>
      <c r="E14" s="1">
        <v>-0.19393297583708899</v>
      </c>
      <c r="F14" s="1">
        <v>-0.18932173653835699</v>
      </c>
      <c r="G14" s="1">
        <v>-5.5143489322198203E-2</v>
      </c>
      <c r="H14" s="1">
        <v>-2.0044349846531299E-2</v>
      </c>
      <c r="I14" s="1">
        <v>0.36422606453950801</v>
      </c>
      <c r="J14" s="1">
        <v>0.93272789030509695</v>
      </c>
      <c r="K14" s="1">
        <v>0.458291668066242</v>
      </c>
      <c r="L14" s="1">
        <v>0.30103786028717999</v>
      </c>
      <c r="M14" s="1">
        <v>0.329600404125235</v>
      </c>
      <c r="P14" s="1">
        <v>-0.165048694647176</v>
      </c>
      <c r="Q14" s="1">
        <v>-0.17766415785653999</v>
      </c>
      <c r="R14" s="1">
        <v>-0.13633618857490801</v>
      </c>
      <c r="S14" s="1">
        <v>-0.129520258927249</v>
      </c>
      <c r="T14" s="1">
        <v>-0.16938210988025901</v>
      </c>
      <c r="U14" s="1">
        <v>-6.4953095639727898E-2</v>
      </c>
      <c r="V14" s="1">
        <v>0.46101152520032301</v>
      </c>
      <c r="W14" s="1">
        <v>0.31098612292015998</v>
      </c>
      <c r="X14" s="1">
        <v>0.56540402903575904</v>
      </c>
      <c r="Y14" s="1">
        <v>0.397104636608063</v>
      </c>
      <c r="Z14" s="1">
        <v>0.45764688832261102</v>
      </c>
      <c r="AA14" s="1">
        <v>0.39199658137387899</v>
      </c>
    </row>
    <row r="15" spans="1:41" x14ac:dyDescent="0.25">
      <c r="B15" s="1">
        <v>-0.107831350471669</v>
      </c>
      <c r="C15" s="1">
        <v>-0.14836868890577101</v>
      </c>
      <c r="D15" s="1">
        <v>-0.16226731159688301</v>
      </c>
      <c r="E15" s="1">
        <v>-0.20589000026496901</v>
      </c>
      <c r="F15" s="1">
        <v>-0.203740475704144</v>
      </c>
      <c r="G15" s="1">
        <v>-5.7444370311844697E-2</v>
      </c>
      <c r="H15" s="1">
        <v>-3.2864084957288299E-2</v>
      </c>
      <c r="I15" s="1">
        <v>0.38530760891154198</v>
      </c>
      <c r="J15" s="1">
        <v>1.04422250762173</v>
      </c>
      <c r="K15" s="1">
        <v>0.52590661360061897</v>
      </c>
      <c r="L15" s="1">
        <v>0.34394257111503701</v>
      </c>
      <c r="M15" s="1">
        <v>0.33244304619249698</v>
      </c>
      <c r="P15" s="1">
        <v>-0.17683504696878499</v>
      </c>
      <c r="Q15" s="1">
        <v>-0.18721111800608001</v>
      </c>
      <c r="R15" s="1">
        <v>-0.13679977090746401</v>
      </c>
      <c r="S15" s="1">
        <v>-0.14285371825941601</v>
      </c>
      <c r="T15" s="1">
        <v>-0.18103623076342801</v>
      </c>
      <c r="U15" s="1">
        <v>-6.14733682138364E-2</v>
      </c>
      <c r="V15" s="1">
        <v>0.51260556328010298</v>
      </c>
      <c r="W15" s="1">
        <v>0.332619398607994</v>
      </c>
      <c r="X15" s="1">
        <v>0.62931434184589796</v>
      </c>
      <c r="Y15" s="1">
        <v>0.43495734917784201</v>
      </c>
      <c r="Z15" s="1">
        <v>0.50655770957475299</v>
      </c>
      <c r="AA15" s="1">
        <v>0.42405114275681</v>
      </c>
      <c r="AD15" s="1" t="s">
        <v>33</v>
      </c>
      <c r="AE15" s="1" t="s">
        <v>34</v>
      </c>
      <c r="AF15" s="1" t="s">
        <v>35</v>
      </c>
      <c r="AG15" s="1" t="s">
        <v>36</v>
      </c>
      <c r="AH15" s="1" t="s">
        <v>37</v>
      </c>
      <c r="AI15" s="1" t="s">
        <v>38</v>
      </c>
      <c r="AJ15" s="1" t="s">
        <v>39</v>
      </c>
      <c r="AK15" s="1" t="s">
        <v>40</v>
      </c>
      <c r="AL15" s="1" t="s">
        <v>41</v>
      </c>
      <c r="AM15" s="1" t="s">
        <v>42</v>
      </c>
      <c r="AN15" s="1" t="s">
        <v>43</v>
      </c>
      <c r="AO15" s="1" t="s">
        <v>44</v>
      </c>
    </row>
    <row r="16" spans="1:41" x14ac:dyDescent="0.25">
      <c r="B16" s="1">
        <v>-0.10191965639671401</v>
      </c>
      <c r="C16" s="1">
        <v>-0.15271017346125801</v>
      </c>
      <c r="D16" s="1">
        <v>-0.162711320804281</v>
      </c>
      <c r="E16" s="1">
        <v>-0.213293252971613</v>
      </c>
      <c r="F16" s="1">
        <v>-0.21461093359211</v>
      </c>
      <c r="G16" s="1">
        <v>-6.1720863765725102E-2</v>
      </c>
      <c r="H16" s="1">
        <v>-4.0576000547930299E-2</v>
      </c>
      <c r="I16" s="1">
        <v>0.40057687802367398</v>
      </c>
      <c r="J16" s="1">
        <v>1.13408519176075</v>
      </c>
      <c r="K16" s="1">
        <v>0.56255922393021596</v>
      </c>
      <c r="L16" s="1">
        <v>0.37335261333193598</v>
      </c>
      <c r="M16" s="1">
        <v>0.32301163354524398</v>
      </c>
      <c r="P16" s="1">
        <v>-0.17228692769123899</v>
      </c>
      <c r="Q16" s="1">
        <v>-0.17863523854027699</v>
      </c>
      <c r="R16" s="1">
        <v>-0.131814877034339</v>
      </c>
      <c r="S16" s="1">
        <v>-0.147613922862426</v>
      </c>
      <c r="T16" s="1">
        <v>-0.18422105473723799</v>
      </c>
      <c r="U16" s="1">
        <v>-4.9215761778999702E-2</v>
      </c>
      <c r="V16" s="1">
        <v>0.51891404221875503</v>
      </c>
      <c r="W16" s="1">
        <v>0.31651083053812301</v>
      </c>
      <c r="X16" s="1">
        <v>0.617438085180953</v>
      </c>
      <c r="Y16" s="1">
        <v>0.44577919510344499</v>
      </c>
      <c r="Z16" s="1">
        <v>0.50521962922966301</v>
      </c>
      <c r="AA16" s="1">
        <v>0.38932424427850498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</row>
    <row r="17" spans="2:41" x14ac:dyDescent="0.25">
      <c r="B17" s="1">
        <v>-0.10487830898223501</v>
      </c>
      <c r="C17" s="1">
        <v>-0.15499880915463099</v>
      </c>
      <c r="D17" s="1">
        <v>-0.16176984146432699</v>
      </c>
      <c r="E17" s="1">
        <v>-0.22143783704231401</v>
      </c>
      <c r="F17" s="1">
        <v>-0.22155622383798201</v>
      </c>
      <c r="G17" s="1">
        <v>-6.7305609961562804E-2</v>
      </c>
      <c r="H17" s="1">
        <v>-2.2985682477893898E-2</v>
      </c>
      <c r="I17" s="1">
        <v>0.442289135565747</v>
      </c>
      <c r="J17" s="1">
        <v>1.2007638430416101</v>
      </c>
      <c r="K17" s="1">
        <v>0.61867078342722603</v>
      </c>
      <c r="L17" s="1">
        <v>0.44416830428925402</v>
      </c>
      <c r="M17" s="1">
        <v>0.34569500157338301</v>
      </c>
      <c r="P17" s="1">
        <v>-0.16211633208603801</v>
      </c>
      <c r="Q17" s="1">
        <v>-0.16173238095248499</v>
      </c>
      <c r="R17" s="1">
        <v>-0.12742499626716799</v>
      </c>
      <c r="S17" s="1">
        <v>-0.14481382913069399</v>
      </c>
      <c r="T17" s="1">
        <v>-0.17566680684286701</v>
      </c>
      <c r="U17" s="1">
        <v>-3.81556071323201E-2</v>
      </c>
      <c r="V17" s="1">
        <v>0.46798002004738098</v>
      </c>
      <c r="W17" s="1">
        <v>0.27719348980401998</v>
      </c>
      <c r="X17" s="1">
        <v>0.579058525789787</v>
      </c>
      <c r="Y17" s="1">
        <v>0.41582901427027902</v>
      </c>
      <c r="Z17" s="1">
        <v>0.44665864498333901</v>
      </c>
      <c r="AA17" s="1">
        <v>0.31846257612899598</v>
      </c>
      <c r="AD17" s="1">
        <v>5.4715494670464397E-3</v>
      </c>
      <c r="AE17" s="1">
        <v>-1.17986875650701E-2</v>
      </c>
      <c r="AF17" s="1">
        <v>1.5681332831152001E-3</v>
      </c>
      <c r="AG17" s="1">
        <v>7.83369745495794E-3</v>
      </c>
      <c r="AH17" s="1">
        <v>1.74307752675988E-2</v>
      </c>
      <c r="AI17" s="1">
        <v>1.5229096242516001E-3</v>
      </c>
      <c r="AJ17" s="1">
        <v>3.6134323530951799E-2</v>
      </c>
      <c r="AK17" s="1">
        <v>2.5688406091378499E-2</v>
      </c>
      <c r="AL17" s="1">
        <v>3.6365234844218199E-2</v>
      </c>
      <c r="AM17" s="1">
        <v>5.38172971813764E-2</v>
      </c>
      <c r="AN17" s="1">
        <v>2.5389751331149499E-2</v>
      </c>
      <c r="AO17" s="1">
        <v>9.2725461946643606E-3</v>
      </c>
    </row>
    <row r="18" spans="2:41" x14ac:dyDescent="0.25">
      <c r="B18" s="1">
        <v>-0.116937691247208</v>
      </c>
      <c r="C18" s="1">
        <v>-0.16089280376567899</v>
      </c>
      <c r="D18" s="1">
        <v>-0.15970299484421599</v>
      </c>
      <c r="E18" s="1">
        <v>-0.22634470044621699</v>
      </c>
      <c r="F18" s="1">
        <v>-0.22532616463736899</v>
      </c>
      <c r="G18" s="1">
        <v>-8.27463947006713E-2</v>
      </c>
      <c r="H18" s="1">
        <v>-9.8611162775027105E-4</v>
      </c>
      <c r="I18" s="1">
        <v>0.50168897319331496</v>
      </c>
      <c r="J18" s="1">
        <v>1.2670254426140599</v>
      </c>
      <c r="K18" s="1">
        <v>0.73699768768652496</v>
      </c>
      <c r="L18" s="1">
        <v>0.56698947682616097</v>
      </c>
      <c r="M18" s="1">
        <v>0.39065811648820098</v>
      </c>
      <c r="P18" s="1">
        <v>-0.163974186941618</v>
      </c>
      <c r="Q18" s="1">
        <v>-0.15329789101159999</v>
      </c>
      <c r="R18" s="1">
        <v>-0.13025600597214301</v>
      </c>
      <c r="S18" s="1">
        <v>-0.13442361590193699</v>
      </c>
      <c r="T18" s="1">
        <v>-0.16174492220585601</v>
      </c>
      <c r="U18" s="1">
        <v>-4.9212324674767299E-2</v>
      </c>
      <c r="V18" s="1">
        <v>0.41991614489248802</v>
      </c>
      <c r="W18" s="1">
        <v>0.24551466707167799</v>
      </c>
      <c r="X18" s="1">
        <v>0.53025988573662097</v>
      </c>
      <c r="Y18" s="1">
        <v>0.370833744328737</v>
      </c>
      <c r="Z18" s="1">
        <v>0.41428143670317402</v>
      </c>
      <c r="AA18" s="1">
        <v>0.29978795555737803</v>
      </c>
      <c r="AD18" s="1">
        <v>-5.8271619764772105E-4</v>
      </c>
      <c r="AE18" s="1">
        <v>-3.1134386188981102E-2</v>
      </c>
      <c r="AF18" s="1">
        <v>2.2334202095268501E-3</v>
      </c>
      <c r="AG18" s="1">
        <v>5.2131225880246096E-3</v>
      </c>
      <c r="AH18" s="1">
        <v>2.8388312036151699E-2</v>
      </c>
      <c r="AI18" s="1">
        <v>-5.04733132146842E-3</v>
      </c>
      <c r="AJ18" s="1">
        <v>9.5491091941135198E-2</v>
      </c>
      <c r="AK18" s="1">
        <v>6.1033209316099603E-2</v>
      </c>
      <c r="AL18" s="1">
        <v>7.8351760505189702E-2</v>
      </c>
      <c r="AM18" s="1">
        <v>0.106771395872446</v>
      </c>
      <c r="AN18" s="1">
        <v>5.8538762718372203E-2</v>
      </c>
      <c r="AO18" s="1">
        <v>4.3333621155789703E-2</v>
      </c>
    </row>
    <row r="19" spans="2:41" x14ac:dyDescent="0.25">
      <c r="B19" s="1">
        <v>-0.12613028471292501</v>
      </c>
      <c r="C19" s="1">
        <v>-0.166491196508635</v>
      </c>
      <c r="D19" s="1">
        <v>-0.15638347746553999</v>
      </c>
      <c r="E19" s="1">
        <v>-0.224613679146345</v>
      </c>
      <c r="F19" s="1">
        <v>-0.22502672961797199</v>
      </c>
      <c r="G19" s="1">
        <v>-0.106276722694506</v>
      </c>
      <c r="H19" s="1">
        <v>2.2559771932139799E-2</v>
      </c>
      <c r="I19" s="1">
        <v>0.55131122862148796</v>
      </c>
      <c r="J19" s="1">
        <v>1.3183405489089901</v>
      </c>
      <c r="K19" s="1">
        <v>0.86067547538360401</v>
      </c>
      <c r="L19" s="1">
        <v>0.684645486572939</v>
      </c>
      <c r="M19" s="1">
        <v>0.43547670343538603</v>
      </c>
      <c r="P19" s="1">
        <v>-0.16924642014947999</v>
      </c>
      <c r="Q19" s="1">
        <v>-0.14503261965403899</v>
      </c>
      <c r="R19" s="1">
        <v>-0.12625856530514601</v>
      </c>
      <c r="S19" s="1">
        <v>-0.114969868364314</v>
      </c>
      <c r="T19" s="1">
        <v>-0.14062560297396001</v>
      </c>
      <c r="U19" s="1">
        <v>-7.1274885765246404E-2</v>
      </c>
      <c r="V19" s="1">
        <v>0.37204046246732497</v>
      </c>
      <c r="W19" s="1">
        <v>0.248988717800153</v>
      </c>
      <c r="X19" s="1">
        <v>0.44753949020120598</v>
      </c>
      <c r="Y19" s="1">
        <v>0.29432293027193901</v>
      </c>
      <c r="Z19" s="1">
        <v>0.35803289619968898</v>
      </c>
      <c r="AA19" s="1">
        <v>0.28155531608746298</v>
      </c>
      <c r="AD19" s="1">
        <v>-1.9821431763031201E-2</v>
      </c>
      <c r="AE19" s="1">
        <v>-5.7006933105973198E-2</v>
      </c>
      <c r="AF19" s="1">
        <v>-1.0111546955119901E-2</v>
      </c>
      <c r="AG19" s="1">
        <v>-9.6019085311713891E-3</v>
      </c>
      <c r="AH19" s="1">
        <v>4.52569683935651E-4</v>
      </c>
      <c r="AI19" s="1">
        <v>-1.9370456867351098E-2</v>
      </c>
      <c r="AJ19" s="1">
        <v>0.13610191592340001</v>
      </c>
      <c r="AK19" s="1">
        <v>0.10203111254913801</v>
      </c>
      <c r="AL19" s="1">
        <v>0.14140010903651501</v>
      </c>
      <c r="AM19" s="1">
        <v>0.203299063562667</v>
      </c>
      <c r="AN19" s="1">
        <v>0.125732623449646</v>
      </c>
      <c r="AO19" s="1">
        <v>8.6610814904192396E-2</v>
      </c>
    </row>
    <row r="20" spans="2:41" x14ac:dyDescent="0.25">
      <c r="B20" s="1">
        <v>-0.12738361544399801</v>
      </c>
      <c r="C20" s="1">
        <v>-0.15941109545757001</v>
      </c>
      <c r="D20" s="1">
        <v>-0.13809559766082</v>
      </c>
      <c r="E20" s="1">
        <v>-0.20915307475419201</v>
      </c>
      <c r="F20" s="1">
        <v>-0.21100312345234801</v>
      </c>
      <c r="G20" s="1">
        <v>-0.12250338206479799</v>
      </c>
      <c r="H20" s="1">
        <v>6.4987007138004205E-2</v>
      </c>
      <c r="I20" s="1">
        <v>0.57064967259671295</v>
      </c>
      <c r="J20" s="1">
        <v>1.2371777538140001</v>
      </c>
      <c r="K20" s="1">
        <v>0.83343816718931096</v>
      </c>
      <c r="L20" s="1">
        <v>0.70974716656811898</v>
      </c>
      <c r="M20" s="1">
        <v>0.45382180603107097</v>
      </c>
      <c r="P20" s="1">
        <v>-0.16505909439927399</v>
      </c>
      <c r="Q20" s="1">
        <v>-0.11869153060043</v>
      </c>
      <c r="R20" s="1">
        <v>-0.112872284886001</v>
      </c>
      <c r="S20" s="1">
        <v>-7.5012759207043506E-2</v>
      </c>
      <c r="T20" s="1">
        <v>-8.8968939475013206E-2</v>
      </c>
      <c r="U20" s="1">
        <v>-7.1939150235707405E-2</v>
      </c>
      <c r="V20" s="1">
        <v>0.29531739379192701</v>
      </c>
      <c r="W20" s="1">
        <v>0.213027397585104</v>
      </c>
      <c r="X20" s="1">
        <v>0.29570035412461998</v>
      </c>
      <c r="Y20" s="1">
        <v>0.13571477945642599</v>
      </c>
      <c r="Z20" s="1">
        <v>0.20010855733194499</v>
      </c>
      <c r="AA20" s="1">
        <v>0.22484654652857899</v>
      </c>
      <c r="AD20" s="1">
        <v>-4.9609160946325698E-2</v>
      </c>
      <c r="AE20" s="1">
        <v>-8.1116609093168299E-2</v>
      </c>
      <c r="AF20" s="1">
        <v>-3.5762466729092397E-2</v>
      </c>
      <c r="AG20" s="1">
        <v>-3.42746921932163E-2</v>
      </c>
      <c r="AH20" s="1">
        <v>-3.5829228320408302E-2</v>
      </c>
      <c r="AI20" s="1">
        <v>-3.7763718755804802E-2</v>
      </c>
      <c r="AJ20" s="1">
        <v>0.18361234242334001</v>
      </c>
      <c r="AK20" s="1">
        <v>0.146226505022303</v>
      </c>
      <c r="AL20" s="1">
        <v>0.21687020074838401</v>
      </c>
      <c r="AM20" s="1">
        <v>0.298457970035722</v>
      </c>
      <c r="AN20" s="1">
        <v>0.20863787732991099</v>
      </c>
      <c r="AO20" s="1">
        <v>0.144926415687368</v>
      </c>
    </row>
    <row r="21" spans="2:41" x14ac:dyDescent="0.25">
      <c r="B21" s="1">
        <v>-0.11176416509074701</v>
      </c>
      <c r="C21" s="1">
        <v>-0.14087936521264499</v>
      </c>
      <c r="D21" s="1">
        <v>-9.9803641062493301E-2</v>
      </c>
      <c r="E21" s="1">
        <v>-0.16771766883391401</v>
      </c>
      <c r="F21" s="1">
        <v>-0.17568649194387001</v>
      </c>
      <c r="G21" s="1">
        <v>-0.12423225326368099</v>
      </c>
      <c r="H21" s="1">
        <v>0.109182782143454</v>
      </c>
      <c r="I21" s="1">
        <v>0.51355570954653895</v>
      </c>
      <c r="J21" s="1">
        <v>0.92946815378245495</v>
      </c>
      <c r="K21" s="1">
        <v>0.62861417475102599</v>
      </c>
      <c r="L21" s="1">
        <v>0.58972451496355704</v>
      </c>
      <c r="M21" s="1">
        <v>0.41004599525410101</v>
      </c>
      <c r="P21" s="1">
        <v>-0.15322107928200901</v>
      </c>
      <c r="Q21" s="1">
        <v>-7.9990955082725496E-2</v>
      </c>
      <c r="R21" s="1">
        <v>-6.1495388553164401E-2</v>
      </c>
      <c r="S21" s="1">
        <v>-2.5470484010553102E-2</v>
      </c>
      <c r="T21" s="1">
        <v>-2.8520380703430499E-2</v>
      </c>
      <c r="U21" s="1">
        <v>-4.75853878131288E-2</v>
      </c>
      <c r="V21" s="1">
        <v>0.186440953778375</v>
      </c>
      <c r="W21" s="1">
        <v>0.11847874093093801</v>
      </c>
      <c r="X21" s="1">
        <v>9.29659989751873E-2</v>
      </c>
      <c r="Y21" s="1">
        <v>-2.6647208770155799E-2</v>
      </c>
      <c r="Z21" s="1">
        <v>3.9915999328142403E-2</v>
      </c>
      <c r="AA21" s="1">
        <v>0.14219757670052699</v>
      </c>
      <c r="AD21" s="1">
        <v>-8.3993391275664894E-2</v>
      </c>
      <c r="AE21" s="1">
        <v>-0.103932325042528</v>
      </c>
      <c r="AF21" s="1">
        <v>-6.48943353524217E-2</v>
      </c>
      <c r="AG21" s="1">
        <v>-5.9599744004532003E-2</v>
      </c>
      <c r="AH21" s="1">
        <v>-7.4142215674369294E-2</v>
      </c>
      <c r="AI21" s="1">
        <v>-5.6466287871172097E-2</v>
      </c>
      <c r="AJ21" s="1">
        <v>0.224917184748884</v>
      </c>
      <c r="AK21" s="1">
        <v>0.19025046232353299</v>
      </c>
      <c r="AL21" s="1">
        <v>0.28407873759170499</v>
      </c>
      <c r="AM21" s="1">
        <v>0.395016894376716</v>
      </c>
      <c r="AN21" s="1">
        <v>0.28399707668201102</v>
      </c>
      <c r="AO21" s="1">
        <v>0.20263729523021101</v>
      </c>
    </row>
    <row r="22" spans="2:41" x14ac:dyDescent="0.25">
      <c r="AD22" s="1">
        <v>-0.112909355784145</v>
      </c>
      <c r="AE22" s="1">
        <v>-0.126870096122044</v>
      </c>
      <c r="AF22" s="1">
        <v>-8.4511343741986794E-2</v>
      </c>
      <c r="AG22" s="1">
        <v>-7.8221198400280106E-2</v>
      </c>
      <c r="AH22" s="1">
        <v>-0.10729541463087899</v>
      </c>
      <c r="AI22" s="1">
        <v>-7.8770189647826505E-2</v>
      </c>
      <c r="AJ22" s="1">
        <v>0.28551998460281602</v>
      </c>
      <c r="AK22" s="1">
        <v>0.23475277473431</v>
      </c>
      <c r="AL22" s="1">
        <v>0.36878225884232302</v>
      </c>
      <c r="AM22" s="1">
        <v>0.48213756222776599</v>
      </c>
      <c r="AN22" s="1">
        <v>0.37295844696254998</v>
      </c>
      <c r="AO22" s="1">
        <v>0.28171943466898802</v>
      </c>
    </row>
    <row r="23" spans="2:41" x14ac:dyDescent="0.25">
      <c r="AD23" s="1">
        <v>-0.135827402165898</v>
      </c>
      <c r="AE23" s="1">
        <v>-0.14482827694276401</v>
      </c>
      <c r="AF23" s="1">
        <v>-9.8770122417676201E-2</v>
      </c>
      <c r="AG23" s="1">
        <v>-8.9681206398588398E-2</v>
      </c>
      <c r="AH23" s="1">
        <v>-0.13474664930660801</v>
      </c>
      <c r="AI23" s="1">
        <v>-9.5018530390667502E-2</v>
      </c>
      <c r="AJ23" s="1">
        <v>0.34177934006890298</v>
      </c>
      <c r="AK23" s="1">
        <v>0.281183005295571</v>
      </c>
      <c r="AL23" s="1">
        <v>0.46654828894246297</v>
      </c>
      <c r="AM23" s="1">
        <v>0.57133346987431399</v>
      </c>
      <c r="AN23" s="1">
        <v>0.45789775760829199</v>
      </c>
      <c r="AO23" s="1">
        <v>0.357395719157727</v>
      </c>
    </row>
    <row r="24" spans="2:41" x14ac:dyDescent="0.25">
      <c r="AD24" s="1">
        <v>-0.152525835459139</v>
      </c>
      <c r="AE24" s="1">
        <v>-0.16182964488124199</v>
      </c>
      <c r="AF24" s="1">
        <v>-0.102146911609531</v>
      </c>
      <c r="AG24" s="1">
        <v>-9.89551798484508E-2</v>
      </c>
      <c r="AH24" s="1">
        <v>-0.155026160136288</v>
      </c>
      <c r="AI24" s="1">
        <v>-0.104953801404398</v>
      </c>
      <c r="AJ24" s="1">
        <v>0.40419177147401603</v>
      </c>
      <c r="AK24" s="1">
        <v>0.33430975069871199</v>
      </c>
      <c r="AL24" s="1">
        <v>0.56414363824531299</v>
      </c>
      <c r="AM24" s="1">
        <v>0.64696570633650996</v>
      </c>
      <c r="AN24" s="1">
        <v>0.53278296625976096</v>
      </c>
      <c r="AO24" s="1">
        <v>0.42943147897940798</v>
      </c>
    </row>
    <row r="25" spans="2:41" x14ac:dyDescent="0.25">
      <c r="B25" s="1" t="s">
        <v>33</v>
      </c>
      <c r="C25" s="1" t="s">
        <v>34</v>
      </c>
      <c r="D25" s="1" t="s">
        <v>35</v>
      </c>
      <c r="E25" s="1" t="s">
        <v>36</v>
      </c>
      <c r="F25" s="1" t="s">
        <v>37</v>
      </c>
      <c r="G25" s="1" t="s">
        <v>38</v>
      </c>
      <c r="H25" s="1" t="s">
        <v>39</v>
      </c>
      <c r="I25" s="1" t="s">
        <v>40</v>
      </c>
      <c r="J25" s="1" t="s">
        <v>41</v>
      </c>
      <c r="K25" s="1" t="s">
        <v>42</v>
      </c>
      <c r="L25" s="1" t="s">
        <v>43</v>
      </c>
      <c r="M25" s="1" t="s">
        <v>44</v>
      </c>
      <c r="P25" s="1" t="s">
        <v>33</v>
      </c>
      <c r="Q25" s="1" t="s">
        <v>34</v>
      </c>
      <c r="R25" s="1" t="s">
        <v>35</v>
      </c>
      <c r="S25" s="1" t="s">
        <v>36</v>
      </c>
      <c r="T25" s="1" t="s">
        <v>37</v>
      </c>
      <c r="U25" s="1" t="s">
        <v>38</v>
      </c>
      <c r="V25" s="1" t="s">
        <v>39</v>
      </c>
      <c r="W25" s="1" t="s">
        <v>40</v>
      </c>
      <c r="X25" s="1" t="s">
        <v>41</v>
      </c>
      <c r="Y25" s="1" t="s">
        <v>42</v>
      </c>
      <c r="Z25" s="1" t="s">
        <v>43</v>
      </c>
      <c r="AA25" s="1" t="s">
        <v>44</v>
      </c>
      <c r="AD25" s="1">
        <v>-0.16382818487700401</v>
      </c>
      <c r="AE25" s="1">
        <v>-0.171396893163589</v>
      </c>
      <c r="AF25" s="1">
        <v>-9.9468587332789807E-2</v>
      </c>
      <c r="AG25" s="1">
        <v>-0.10828761756491299</v>
      </c>
      <c r="AH25" s="1">
        <v>-0.171763881207084</v>
      </c>
      <c r="AI25" s="1">
        <v>-0.110972727104025</v>
      </c>
      <c r="AJ25" s="1">
        <v>0.46319890172568401</v>
      </c>
      <c r="AK25" s="1">
        <v>0.385673771245921</v>
      </c>
      <c r="AL25" s="1">
        <v>0.65249166086218502</v>
      </c>
      <c r="AM25" s="1">
        <v>0.71610211326531603</v>
      </c>
      <c r="AN25" s="1">
        <v>0.60320697235658705</v>
      </c>
      <c r="AO25" s="1">
        <v>0.49028692899215198</v>
      </c>
    </row>
    <row r="26" spans="2:41" x14ac:dyDescent="0.25"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D26" s="1">
        <v>-0.16207644350686001</v>
      </c>
      <c r="AE26" s="1">
        <v>-0.16835803464784099</v>
      </c>
      <c r="AF26" s="1">
        <v>-9.5052553206495402E-2</v>
      </c>
      <c r="AG26" s="1">
        <v>-0.110082069446665</v>
      </c>
      <c r="AH26" s="1">
        <v>-0.179677679053695</v>
      </c>
      <c r="AI26" s="1">
        <v>-0.108838641441666</v>
      </c>
      <c r="AJ26" s="1">
        <v>0.48970705341648502</v>
      </c>
      <c r="AK26" s="1">
        <v>0.409535648419314</v>
      </c>
      <c r="AL26" s="1">
        <v>0.70737363348986904</v>
      </c>
      <c r="AM26" s="1">
        <v>0.75579455340592805</v>
      </c>
      <c r="AN26" s="1">
        <v>0.626320997210846</v>
      </c>
      <c r="AO26" s="1">
        <v>0.50403008133103899</v>
      </c>
    </row>
    <row r="27" spans="2:41" x14ac:dyDescent="0.25">
      <c r="B27" s="1">
        <v>-3.5651037004786397E-4</v>
      </c>
      <c r="C27" s="1">
        <v>-2.6200985376687001E-2</v>
      </c>
      <c r="D27" s="1">
        <v>2.3007669844394198E-3</v>
      </c>
      <c r="E27" s="1">
        <v>-2.1106902173934402E-3</v>
      </c>
      <c r="F27" s="1">
        <v>-4.1942849174095602E-3</v>
      </c>
      <c r="G27" s="1">
        <v>-5.4775340821266701E-3</v>
      </c>
      <c r="H27" s="1">
        <v>3.1775701027960498E-2</v>
      </c>
      <c r="I27" s="1">
        <v>3.1892307692390397E-2</v>
      </c>
      <c r="J27" s="1">
        <v>5.7966322307501102E-2</v>
      </c>
      <c r="K27" s="1">
        <v>1.6390667926996099E-2</v>
      </c>
      <c r="L27" s="1">
        <v>7.7892153361646798E-3</v>
      </c>
      <c r="M27" s="1">
        <v>-2.99006852486217E-3</v>
      </c>
      <c r="P27" s="1">
        <v>2.44634768465071E-3</v>
      </c>
      <c r="Q27" s="1">
        <v>-7.5980158588768798E-3</v>
      </c>
      <c r="R27" s="1">
        <v>-7.4566203491454198E-4</v>
      </c>
      <c r="S27" s="1">
        <v>8.0392233514515598E-4</v>
      </c>
      <c r="T27" s="1">
        <v>3.0497389080730401E-3</v>
      </c>
      <c r="U27" s="1">
        <v>7.0707223330983299E-3</v>
      </c>
      <c r="V27" s="1">
        <v>3.5693386702866398E-2</v>
      </c>
      <c r="W27" s="1">
        <v>4.0918955319870297E-2</v>
      </c>
      <c r="X27" s="1">
        <v>2.93396657061651E-2</v>
      </c>
      <c r="Y27" s="1">
        <v>4.0725020145207097E-2</v>
      </c>
      <c r="Z27" s="1">
        <v>4.9201591591242697E-2</v>
      </c>
      <c r="AA27" s="1">
        <v>1.33327185876833E-2</v>
      </c>
      <c r="AD27" s="1">
        <v>-0.147847382227905</v>
      </c>
      <c r="AE27" s="1">
        <v>-0.14359429796005499</v>
      </c>
      <c r="AF27" s="1">
        <v>-8.6549892458779795E-2</v>
      </c>
      <c r="AG27" s="1">
        <v>-0.10333424850794699</v>
      </c>
      <c r="AH27" s="1">
        <v>-0.17326087764296499</v>
      </c>
      <c r="AI27" s="1">
        <v>-9.66448141180236E-2</v>
      </c>
      <c r="AJ27" s="1">
        <v>0.43694515872921502</v>
      </c>
      <c r="AK27" s="1">
        <v>0.36782007322968602</v>
      </c>
      <c r="AL27" s="1">
        <v>0.67460728098448997</v>
      </c>
      <c r="AM27" s="1">
        <v>0.71865007338078102</v>
      </c>
      <c r="AN27" s="1">
        <v>0.58358943471107905</v>
      </c>
      <c r="AO27" s="1">
        <v>0.43182084838075102</v>
      </c>
    </row>
    <row r="28" spans="2:41" x14ac:dyDescent="0.25">
      <c r="B28" s="1">
        <v>-8.8615106061827997E-3</v>
      </c>
      <c r="C28" s="1">
        <v>-7.3058843515928604E-2</v>
      </c>
      <c r="D28" s="1">
        <v>3.3640706753467098E-3</v>
      </c>
      <c r="E28" s="1">
        <v>-8.1448334734966297E-3</v>
      </c>
      <c r="F28" s="1">
        <v>-2.49754482926112E-2</v>
      </c>
      <c r="G28" s="1">
        <v>-1.6376473329359001E-2</v>
      </c>
      <c r="H28" s="1">
        <v>7.4580561818476707E-2</v>
      </c>
      <c r="I28" s="1">
        <v>6.7270224818854502E-2</v>
      </c>
      <c r="J28" s="1">
        <v>0.16600647052387801</v>
      </c>
      <c r="K28" s="1">
        <v>4.7933547359575501E-2</v>
      </c>
      <c r="L28" s="1">
        <v>6.1332287356857104E-3</v>
      </c>
      <c r="M28" s="1">
        <v>1.8619265067138201E-2</v>
      </c>
      <c r="P28" s="1">
        <v>-5.8444968550177201E-3</v>
      </c>
      <c r="Q28" s="1">
        <v>-3.2954041059257998E-2</v>
      </c>
      <c r="R28" s="1">
        <v>-2.3869181564029002E-3</v>
      </c>
      <c r="S28" s="1">
        <v>3.51587245614686E-3</v>
      </c>
      <c r="T28" s="1">
        <v>-4.53553284038225E-3</v>
      </c>
      <c r="U28" s="1">
        <v>2.0954835798197699E-3</v>
      </c>
      <c r="V28" s="1">
        <v>8.5439541115115106E-2</v>
      </c>
      <c r="W28" s="1">
        <v>9.8783531356199106E-2</v>
      </c>
      <c r="X28" s="1">
        <v>8.1995186210219104E-2</v>
      </c>
      <c r="Y28" s="1">
        <v>8.2460563239606405E-2</v>
      </c>
      <c r="Z28" s="1">
        <v>0.114438604911758</v>
      </c>
      <c r="AA28" s="1">
        <v>5.1369379706809597E-2</v>
      </c>
      <c r="AD28" s="1">
        <v>-0.13154891957299</v>
      </c>
      <c r="AE28" s="1">
        <v>-0.11700711003848301</v>
      </c>
      <c r="AF28" s="1">
        <v>-7.5603349159825001E-2</v>
      </c>
      <c r="AG28" s="1">
        <v>-9.1783394278551395E-2</v>
      </c>
      <c r="AH28" s="1">
        <v>-0.15055073144925499</v>
      </c>
      <c r="AI28" s="1">
        <v>-8.7332965377019497E-2</v>
      </c>
      <c r="AJ28" s="1">
        <v>0.35557148270782801</v>
      </c>
      <c r="AK28" s="1">
        <v>0.28481962081225798</v>
      </c>
      <c r="AL28" s="1">
        <v>0.59375197128560597</v>
      </c>
      <c r="AM28" s="1">
        <v>0.61860981922454805</v>
      </c>
      <c r="AN28" s="1">
        <v>0.497878199877344</v>
      </c>
      <c r="AO28" s="1">
        <v>0.34619525453684802</v>
      </c>
    </row>
    <row r="29" spans="2:41" x14ac:dyDescent="0.25">
      <c r="B29" s="1">
        <v>-2.5172603924580102E-2</v>
      </c>
      <c r="C29" s="1">
        <v>-0.106632189808327</v>
      </c>
      <c r="D29" s="1">
        <v>-1.29939833567358E-2</v>
      </c>
      <c r="E29" s="1">
        <v>-3.3495570507443499E-2</v>
      </c>
      <c r="F29" s="1">
        <v>-5.4770982272457101E-2</v>
      </c>
      <c r="G29" s="1">
        <v>-3.2557544274854203E-2</v>
      </c>
      <c r="H29" s="1">
        <v>0.113479218540139</v>
      </c>
      <c r="I29" s="1">
        <v>0.104125584310543</v>
      </c>
      <c r="J29" s="1">
        <v>0.30360179321703901</v>
      </c>
      <c r="K29" s="1">
        <v>9.9023380760888E-2</v>
      </c>
      <c r="L29" s="1">
        <v>4.17524674848423E-2</v>
      </c>
      <c r="M29" s="1">
        <v>5.8635472192860701E-2</v>
      </c>
      <c r="P29" s="1">
        <v>-2.98359505456295E-2</v>
      </c>
      <c r="Q29" s="1">
        <v>-6.0803800204879903E-2</v>
      </c>
      <c r="R29" s="1">
        <v>-1.1616665177398001E-2</v>
      </c>
      <c r="S29" s="1">
        <v>-1.5387734092908599E-2</v>
      </c>
      <c r="T29" s="1">
        <v>-3.25045542036968E-2</v>
      </c>
      <c r="U29" s="1">
        <v>-1.2598764543974499E-2</v>
      </c>
      <c r="V29" s="1">
        <v>0.12793463586538001</v>
      </c>
      <c r="W29" s="1">
        <v>0.13561786080225699</v>
      </c>
      <c r="X29" s="1">
        <v>0.15146719139412801</v>
      </c>
      <c r="Y29" s="1">
        <v>0.157473817066792</v>
      </c>
      <c r="Z29" s="1">
        <v>0.18442736885522701</v>
      </c>
      <c r="AA29" s="1">
        <v>9.6038073251699205E-2</v>
      </c>
      <c r="AD29" s="1">
        <v>-0.13182824894708101</v>
      </c>
      <c r="AE29" s="1">
        <v>-0.10780764218987</v>
      </c>
      <c r="AF29" s="1">
        <v>-7.0035637787594598E-2</v>
      </c>
      <c r="AG29" s="1">
        <v>-7.4925776889075604E-2</v>
      </c>
      <c r="AH29" s="1">
        <v>-0.12199155414422</v>
      </c>
      <c r="AI29" s="1">
        <v>-9.1995653963268198E-2</v>
      </c>
      <c r="AJ29" s="1">
        <v>0.33507359492671801</v>
      </c>
      <c r="AK29" s="1">
        <v>0.255209140442896</v>
      </c>
      <c r="AL29" s="1">
        <v>0.49240310639236301</v>
      </c>
      <c r="AM29" s="1">
        <v>0.48548925147750699</v>
      </c>
      <c r="AN29" s="1">
        <v>0.41158727344801899</v>
      </c>
      <c r="AO29" s="1">
        <v>0.30160330400553498</v>
      </c>
    </row>
    <row r="30" spans="2:41" x14ac:dyDescent="0.25">
      <c r="B30" s="1">
        <v>-5.03673522733964E-2</v>
      </c>
      <c r="C30" s="1">
        <v>-0.124387894373739</v>
      </c>
      <c r="D30" s="1">
        <v>-4.9940692855970699E-2</v>
      </c>
      <c r="E30" s="1">
        <v>-5.8008109781798697E-2</v>
      </c>
      <c r="F30" s="1">
        <v>-9.1622406234069503E-2</v>
      </c>
      <c r="G30" s="1">
        <v>-4.39256077020444E-2</v>
      </c>
      <c r="H30" s="1">
        <v>0.15926061937932101</v>
      </c>
      <c r="I30" s="1">
        <v>0.155663169066934</v>
      </c>
      <c r="J30" s="1">
        <v>0.39687631313628902</v>
      </c>
      <c r="K30" s="1">
        <v>0.16319041276774901</v>
      </c>
      <c r="L30" s="1">
        <v>0.10723116387385601</v>
      </c>
      <c r="M30" s="1">
        <v>0.10848057855799501</v>
      </c>
      <c r="P30" s="1">
        <v>-6.0870712531344399E-2</v>
      </c>
      <c r="Q30" s="1">
        <v>-8.5373942059277494E-2</v>
      </c>
      <c r="R30" s="1">
        <v>-3.5232589951700997E-2</v>
      </c>
      <c r="S30" s="1">
        <v>-3.68327532568061E-2</v>
      </c>
      <c r="T30" s="1">
        <v>-6.7428055294343203E-2</v>
      </c>
      <c r="U30" s="1">
        <v>-2.9031291483360099E-2</v>
      </c>
      <c r="V30" s="1">
        <v>0.191780793968061</v>
      </c>
      <c r="W30" s="1">
        <v>0.17342814067554699</v>
      </c>
      <c r="X30" s="1">
        <v>0.22474488454385899</v>
      </c>
      <c r="Y30" s="1">
        <v>0.23242024244767001</v>
      </c>
      <c r="Z30" s="1">
        <v>0.27860275359270498</v>
      </c>
      <c r="AA30" s="1">
        <v>0.14786663459228999</v>
      </c>
      <c r="AD30" s="1">
        <v>-0.14507506470744</v>
      </c>
      <c r="AE30" s="1">
        <v>-0.114169258223458</v>
      </c>
      <c r="AF30" s="1">
        <v>-6.0822871833148703E-2</v>
      </c>
      <c r="AG30" s="1">
        <v>-5.5946453701372301E-2</v>
      </c>
      <c r="AH30" s="1">
        <v>-9.2203554401809495E-2</v>
      </c>
      <c r="AI30" s="1">
        <v>-0.10468078631349401</v>
      </c>
      <c r="AJ30" s="1">
        <v>0.335696182532354</v>
      </c>
      <c r="AK30" s="1">
        <v>0.25283419009642499</v>
      </c>
      <c r="AL30" s="1">
        <v>0.36900618812931801</v>
      </c>
      <c r="AM30" s="1">
        <v>0.30378392680600802</v>
      </c>
      <c r="AN30" s="1">
        <v>0.28239613794888402</v>
      </c>
      <c r="AO30" s="1">
        <v>0.285245750885461</v>
      </c>
    </row>
    <row r="31" spans="2:41" x14ac:dyDescent="0.25">
      <c r="B31" s="1">
        <v>-7.8000317170643998E-2</v>
      </c>
      <c r="C31" s="1">
        <v>-0.13500751360378199</v>
      </c>
      <c r="D31" s="1">
        <v>-8.4592311341203402E-2</v>
      </c>
      <c r="E31" s="1">
        <v>-8.8570933613099201E-2</v>
      </c>
      <c r="F31" s="1">
        <v>-0.12836363381673299</v>
      </c>
      <c r="G31" s="1">
        <v>-4.9722480124847403E-2</v>
      </c>
      <c r="H31" s="1">
        <v>0.20087266302992901</v>
      </c>
      <c r="I31" s="1">
        <v>0.226068037769248</v>
      </c>
      <c r="J31" s="1">
        <v>0.48433716367615198</v>
      </c>
      <c r="K31" s="1">
        <v>0.25505377977293298</v>
      </c>
      <c r="L31" s="1">
        <v>0.18850508881460801</v>
      </c>
      <c r="M31" s="1">
        <v>0.169549929933548</v>
      </c>
      <c r="P31" s="1">
        <v>-9.2124780377144402E-2</v>
      </c>
      <c r="Q31" s="1">
        <v>-0.109596788022953</v>
      </c>
      <c r="R31" s="1">
        <v>-6.2269804885002403E-2</v>
      </c>
      <c r="S31" s="1">
        <v>-5.5684010731505397E-2</v>
      </c>
      <c r="T31" s="1">
        <v>-0.10333841375370401</v>
      </c>
      <c r="U31" s="1">
        <v>-4.3352345127294599E-2</v>
      </c>
      <c r="V31" s="1">
        <v>0.26772001276697699</v>
      </c>
      <c r="W31" s="1">
        <v>0.21098833647450499</v>
      </c>
      <c r="X31" s="1">
        <v>0.29980128909993398</v>
      </c>
      <c r="Y31" s="1">
        <v>0.30072834929709402</v>
      </c>
      <c r="Z31" s="1">
        <v>0.38314330590630402</v>
      </c>
      <c r="AA31" s="1">
        <v>0.20600372498120201</v>
      </c>
      <c r="AD31" s="1">
        <v>-0.139254374690778</v>
      </c>
      <c r="AE31" s="1">
        <v>-0.120261091846125</v>
      </c>
      <c r="AF31" s="1">
        <v>-3.6389333468197498E-2</v>
      </c>
      <c r="AG31" s="1">
        <v>-2.91420711045094E-2</v>
      </c>
      <c r="AH31" s="1">
        <v>-5.9306059782535801E-2</v>
      </c>
      <c r="AI31" s="1">
        <v>-0.107198044631068</v>
      </c>
      <c r="AJ31" s="1">
        <v>0.26666791742106799</v>
      </c>
      <c r="AK31" s="1">
        <v>0.208735280395935</v>
      </c>
      <c r="AL31" s="1">
        <v>0.21584238937547701</v>
      </c>
      <c r="AM31" s="1">
        <v>0.123919700731949</v>
      </c>
      <c r="AN31" s="1">
        <v>0.15286601621403201</v>
      </c>
      <c r="AO31" s="1">
        <v>0.22905459859789301</v>
      </c>
    </row>
    <row r="32" spans="2:41" x14ac:dyDescent="0.25">
      <c r="B32" s="1">
        <v>-0.101318091519985</v>
      </c>
      <c r="C32" s="1">
        <v>-0.14601312974900699</v>
      </c>
      <c r="D32" s="1">
        <v>-0.11025691709215001</v>
      </c>
      <c r="E32" s="1">
        <v>-0.11388843034537401</v>
      </c>
      <c r="F32" s="1">
        <v>-0.16202179369460901</v>
      </c>
      <c r="G32" s="1">
        <v>-5.8933404732502699E-2</v>
      </c>
      <c r="H32" s="1">
        <v>0.240428976939841</v>
      </c>
      <c r="I32" s="1">
        <v>0.29495268027191102</v>
      </c>
      <c r="J32" s="1">
        <v>0.55065293978480601</v>
      </c>
      <c r="K32" s="1">
        <v>0.366140522842623</v>
      </c>
      <c r="L32" s="1">
        <v>0.27581741764856599</v>
      </c>
      <c r="M32" s="1">
        <v>0.24454835540613401</v>
      </c>
      <c r="P32" s="1">
        <v>-0.1194251985163</v>
      </c>
      <c r="Q32" s="1">
        <v>-0.12854793949694801</v>
      </c>
      <c r="R32" s="1">
        <v>-8.3451899587149103E-2</v>
      </c>
      <c r="S32" s="1">
        <v>-7.2000651432514204E-2</v>
      </c>
      <c r="T32" s="1">
        <v>-0.132143192099062</v>
      </c>
      <c r="U32" s="1">
        <v>-5.7113767272916303E-2</v>
      </c>
      <c r="V32" s="1">
        <v>0.34562759396073001</v>
      </c>
      <c r="W32" s="1">
        <v>0.27448519429683499</v>
      </c>
      <c r="X32" s="1">
        <v>0.38691091571073699</v>
      </c>
      <c r="Y32" s="1">
        <v>0.37071046514689499</v>
      </c>
      <c r="Z32" s="1">
        <v>0.47713931984429803</v>
      </c>
      <c r="AA32" s="1">
        <v>0.27320978219384801</v>
      </c>
    </row>
    <row r="33" spans="2:27" x14ac:dyDescent="0.25">
      <c r="B33" s="1">
        <v>-0.120094513179411</v>
      </c>
      <c r="C33" s="1">
        <v>-0.15627492722245301</v>
      </c>
      <c r="D33" s="1">
        <v>-0.129570385913261</v>
      </c>
      <c r="E33" s="1">
        <v>-0.13399246660288799</v>
      </c>
      <c r="F33" s="1">
        <v>-0.19198988066679001</v>
      </c>
      <c r="G33" s="1">
        <v>-6.6555189880200594E-2</v>
      </c>
      <c r="H33" s="1">
        <v>0.28143205936434401</v>
      </c>
      <c r="I33" s="1">
        <v>0.36102130431837198</v>
      </c>
      <c r="J33" s="1">
        <v>0.60422163330752798</v>
      </c>
      <c r="K33" s="1">
        <v>0.484851501817125</v>
      </c>
      <c r="L33" s="1">
        <v>0.37470931586967399</v>
      </c>
      <c r="M33" s="1">
        <v>0.32029840016139699</v>
      </c>
      <c r="P33" s="1">
        <v>-0.140315982390876</v>
      </c>
      <c r="Q33" s="1">
        <v>-0.14739427078249401</v>
      </c>
      <c r="R33" s="1">
        <v>-9.4195713169344802E-2</v>
      </c>
      <c r="S33" s="1">
        <v>-8.7349956497237105E-2</v>
      </c>
      <c r="T33" s="1">
        <v>-0.15803487839298799</v>
      </c>
      <c r="U33" s="1">
        <v>-6.8671994572496994E-2</v>
      </c>
      <c r="V33" s="1">
        <v>0.42206322674580998</v>
      </c>
      <c r="W33" s="1">
        <v>0.33227800168169602</v>
      </c>
      <c r="X33" s="1">
        <v>0.47415944476996402</v>
      </c>
      <c r="Y33" s="1">
        <v>0.43637552781483402</v>
      </c>
      <c r="Z33" s="1">
        <v>0.57238372239834201</v>
      </c>
      <c r="AA33" s="1">
        <v>0.34959880126509602</v>
      </c>
    </row>
    <row r="34" spans="2:27" x14ac:dyDescent="0.25">
      <c r="B34" s="1">
        <v>-0.135610354123505</v>
      </c>
      <c r="C34" s="1">
        <v>-0.16305668817150201</v>
      </c>
      <c r="D34" s="1">
        <v>-0.14599736675669001</v>
      </c>
      <c r="E34" s="1">
        <v>-0.15140518323445201</v>
      </c>
      <c r="F34" s="1">
        <v>-0.21456487847979799</v>
      </c>
      <c r="G34" s="1">
        <v>-7.1430434304963E-2</v>
      </c>
      <c r="H34" s="1">
        <v>0.31868066522252803</v>
      </c>
      <c r="I34" s="1">
        <v>0.42086267999954202</v>
      </c>
      <c r="J34" s="1">
        <v>0.64530278447737599</v>
      </c>
      <c r="K34" s="1">
        <v>0.60564673388438195</v>
      </c>
      <c r="L34" s="1">
        <v>0.47182931376356901</v>
      </c>
      <c r="M34" s="1">
        <v>0.39420363372572598</v>
      </c>
      <c r="P34" s="1">
        <v>-0.15760981775940999</v>
      </c>
      <c r="Q34" s="1">
        <v>-0.161952681703072</v>
      </c>
      <c r="R34" s="1">
        <v>-9.4819804870086705E-2</v>
      </c>
      <c r="S34" s="1">
        <v>-0.102819098121872</v>
      </c>
      <c r="T34" s="1">
        <v>-0.179130707461615</v>
      </c>
      <c r="U34" s="1">
        <v>-7.4907026239511898E-2</v>
      </c>
      <c r="V34" s="1">
        <v>0.49677178790750998</v>
      </c>
      <c r="W34" s="1">
        <v>0.40153065595237702</v>
      </c>
      <c r="X34" s="1">
        <v>0.56107235924157794</v>
      </c>
      <c r="Y34" s="1">
        <v>0.49256608695996701</v>
      </c>
      <c r="Z34" s="1">
        <v>0.65314129900044704</v>
      </c>
      <c r="AA34" s="1">
        <v>0.42208812197020001</v>
      </c>
    </row>
    <row r="35" spans="2:27" x14ac:dyDescent="0.25">
      <c r="B35" s="1">
        <v>-0.14778183963829999</v>
      </c>
      <c r="C35" s="1">
        <v>-0.171298948568054</v>
      </c>
      <c r="D35" s="1">
        <v>-0.15468283027472399</v>
      </c>
      <c r="E35" s="1">
        <v>-0.16407087347042301</v>
      </c>
      <c r="F35" s="1">
        <v>-0.23189591054759001</v>
      </c>
      <c r="G35" s="1">
        <v>-7.0106456396883204E-2</v>
      </c>
      <c r="H35" s="1">
        <v>0.34338976570715601</v>
      </c>
      <c r="I35" s="1">
        <v>0.45961132934340398</v>
      </c>
      <c r="J35" s="1">
        <v>0.69788626934512998</v>
      </c>
      <c r="K35" s="1">
        <v>0.71795108046078804</v>
      </c>
      <c r="L35" s="1">
        <v>0.56226246227069798</v>
      </c>
      <c r="M35" s="1">
        <v>0.44101637868305998</v>
      </c>
      <c r="P35" s="1">
        <v>-0.16682175443823499</v>
      </c>
      <c r="Q35" s="1">
        <v>-0.168571276738819</v>
      </c>
      <c r="R35" s="1">
        <v>-9.2545035898339095E-2</v>
      </c>
      <c r="S35" s="1">
        <v>-0.114146001606954</v>
      </c>
      <c r="T35" s="1">
        <v>-0.19343394155848301</v>
      </c>
      <c r="U35" s="1">
        <v>-7.6575037401135193E-2</v>
      </c>
      <c r="V35" s="1">
        <v>0.55071869375831595</v>
      </c>
      <c r="W35" s="1">
        <v>0.45062780300524902</v>
      </c>
      <c r="X35" s="1">
        <v>0.62753025367610205</v>
      </c>
      <c r="Y35" s="1">
        <v>0.53662993925408298</v>
      </c>
      <c r="Z35" s="1">
        <v>0.71854440831637101</v>
      </c>
      <c r="AA35" s="1">
        <v>0.47159553577108199</v>
      </c>
    </row>
    <row r="36" spans="2:27" x14ac:dyDescent="0.25">
      <c r="B36" s="1">
        <v>-0.154402383809355</v>
      </c>
      <c r="C36" s="1">
        <v>-0.177650127816876</v>
      </c>
      <c r="D36" s="1">
        <v>-0.15412202471675299</v>
      </c>
      <c r="E36" s="1">
        <v>-0.173105239291449</v>
      </c>
      <c r="F36" s="1">
        <v>-0.24386711280985299</v>
      </c>
      <c r="G36" s="1">
        <v>-6.8230461807487305E-2</v>
      </c>
      <c r="H36" s="1">
        <v>0.35708807495581502</v>
      </c>
      <c r="I36" s="1">
        <v>0.48434147000040401</v>
      </c>
      <c r="J36" s="1">
        <v>0.76267911883790696</v>
      </c>
      <c r="K36" s="1">
        <v>0.804357845621542</v>
      </c>
      <c r="L36" s="1">
        <v>0.621404930507239</v>
      </c>
      <c r="M36" s="1">
        <v>0.47032845046356397</v>
      </c>
      <c r="P36" s="1">
        <v>-0.156867373596632</v>
      </c>
      <c r="Q36" s="1">
        <v>-0.15804047253081299</v>
      </c>
      <c r="R36" s="1">
        <v>-8.4652178318781995E-2</v>
      </c>
      <c r="S36" s="1">
        <v>-0.118447633854066</v>
      </c>
      <c r="T36" s="1">
        <v>-0.19901964473056</v>
      </c>
      <c r="U36" s="1">
        <v>-7.1616395822432302E-2</v>
      </c>
      <c r="V36" s="1">
        <v>0.54932831891314005</v>
      </c>
      <c r="W36" s="1">
        <v>0.43743291242954901</v>
      </c>
      <c r="X36" s="1">
        <v>0.63035600530654801</v>
      </c>
      <c r="Y36" s="1">
        <v>0.54522308884172599</v>
      </c>
      <c r="Z36" s="1">
        <v>0.74448050682289502</v>
      </c>
      <c r="AA36" s="1">
        <v>0.45171237641061501</v>
      </c>
    </row>
    <row r="37" spans="2:27" x14ac:dyDescent="0.25">
      <c r="B37" s="1">
        <v>-0.15565110869871501</v>
      </c>
      <c r="C37" s="1">
        <v>-0.17937569511977999</v>
      </c>
      <c r="D37" s="1">
        <v>-0.14612334177911401</v>
      </c>
      <c r="E37" s="1">
        <v>-0.17740186471552699</v>
      </c>
      <c r="F37" s="1">
        <v>-0.24895568881951</v>
      </c>
      <c r="G37" s="1">
        <v>-6.6567051704483696E-2</v>
      </c>
      <c r="H37" s="1">
        <v>0.38780727311282198</v>
      </c>
      <c r="I37" s="1">
        <v>0.52375003313412605</v>
      </c>
      <c r="J37" s="1">
        <v>0.78777056509825805</v>
      </c>
      <c r="K37" s="1">
        <v>0.85299500040939902</v>
      </c>
      <c r="L37" s="1">
        <v>0.66681469007211103</v>
      </c>
      <c r="M37" s="1">
        <v>0.46170034992261899</v>
      </c>
      <c r="P37" s="1">
        <v>-0.13655276890353299</v>
      </c>
      <c r="Q37" s="1">
        <v>-0.125571579536435</v>
      </c>
      <c r="R37" s="1">
        <v>-7.7757776456841801E-2</v>
      </c>
      <c r="S37" s="1">
        <v>-0.117432907428349</v>
      </c>
      <c r="T37" s="1">
        <v>-0.19250496764990799</v>
      </c>
      <c r="U37" s="1">
        <v>-6.3214295375044402E-2</v>
      </c>
      <c r="V37" s="1">
        <v>0.46432530275565398</v>
      </c>
      <c r="W37" s="1">
        <v>0.36100520582366902</v>
      </c>
      <c r="X37" s="1">
        <v>0.55434118145673505</v>
      </c>
      <c r="Y37" s="1">
        <v>0.50544433850980797</v>
      </c>
      <c r="Z37" s="1">
        <v>0.68734190629369396</v>
      </c>
      <c r="AA37" s="1">
        <v>0.38052866031087301</v>
      </c>
    </row>
    <row r="38" spans="2:27" x14ac:dyDescent="0.25">
      <c r="B38" s="1">
        <v>-0.161433342082555</v>
      </c>
      <c r="C38" s="1">
        <v>-0.17856037376019299</v>
      </c>
      <c r="D38" s="1">
        <v>-0.14112245355928599</v>
      </c>
      <c r="E38" s="1">
        <v>-0.18022089537163399</v>
      </c>
      <c r="F38" s="1">
        <v>-0.246361595570637</v>
      </c>
      <c r="G38" s="1">
        <v>-7.9284151397472996E-2</v>
      </c>
      <c r="H38" s="1">
        <v>0.404066677585459</v>
      </c>
      <c r="I38" s="1">
        <v>0.54134818396794104</v>
      </c>
      <c r="J38" s="1">
        <v>0.77766197061945297</v>
      </c>
      <c r="K38" s="1">
        <v>0.86585546276466596</v>
      </c>
      <c r="L38" s="1">
        <v>0.69702157651698404</v>
      </c>
      <c r="M38" s="1">
        <v>0.47227949635634697</v>
      </c>
      <c r="P38" s="1">
        <v>-0.13043740744996599</v>
      </c>
      <c r="Q38" s="1">
        <v>-0.105000703231832</v>
      </c>
      <c r="R38" s="1">
        <v>-7.8377532531668306E-2</v>
      </c>
      <c r="S38" s="1">
        <v>-0.106330044841854</v>
      </c>
      <c r="T38" s="1">
        <v>-0.17907101375276599</v>
      </c>
      <c r="U38" s="1">
        <v>-6.3483565078298707E-2</v>
      </c>
      <c r="V38" s="1">
        <v>0.42781252067344999</v>
      </c>
      <c r="W38" s="1">
        <v>0.31416014988047303</v>
      </c>
      <c r="X38" s="1">
        <v>0.45944321947279898</v>
      </c>
      <c r="Y38" s="1">
        <v>0.45041738581935697</v>
      </c>
      <c r="Z38" s="1">
        <v>0.60339843161961704</v>
      </c>
      <c r="AA38" s="1">
        <v>0.331854232421469</v>
      </c>
    </row>
    <row r="39" spans="2:27" x14ac:dyDescent="0.25">
      <c r="B39" s="1">
        <v>-0.17064658832719101</v>
      </c>
      <c r="C39" s="1">
        <v>-0.17652994346446399</v>
      </c>
      <c r="D39" s="1">
        <v>-0.142190254577791</v>
      </c>
      <c r="E39" s="1">
        <v>-0.174729137135683</v>
      </c>
      <c r="F39" s="1">
        <v>-0.236808985460921</v>
      </c>
      <c r="G39" s="1">
        <v>-0.108225567362424</v>
      </c>
      <c r="H39" s="1">
        <v>0.42173306854982001</v>
      </c>
      <c r="I39" s="1">
        <v>0.53648635281387302</v>
      </c>
      <c r="J39" s="1">
        <v>0.74887157364623402</v>
      </c>
      <c r="K39" s="1">
        <v>0.86687351392873002</v>
      </c>
      <c r="L39" s="1">
        <v>0.72982078659328298</v>
      </c>
      <c r="M39" s="1">
        <v>0.49958107612309099</v>
      </c>
      <c r="P39" s="1">
        <v>-0.14412812140414499</v>
      </c>
      <c r="Q39" s="1">
        <v>-9.9263652185958395E-2</v>
      </c>
      <c r="R39" s="1">
        <v>-8.0232487564397797E-2</v>
      </c>
      <c r="S39" s="1">
        <v>-8.5601753863701294E-2</v>
      </c>
      <c r="T39" s="1">
        <v>-0.158074724823174</v>
      </c>
      <c r="U39" s="1">
        <v>-7.4752036049662504E-2</v>
      </c>
      <c r="V39" s="1">
        <v>0.42363468141348598</v>
      </c>
      <c r="W39" s="1">
        <v>0.30982008611171702</v>
      </c>
      <c r="X39" s="1">
        <v>0.34574903855345102</v>
      </c>
      <c r="Y39" s="1">
        <v>0.35363568854007099</v>
      </c>
      <c r="Z39" s="1">
        <v>0.49104119677190999</v>
      </c>
      <c r="AA39" s="1">
        <v>0.31981323795593602</v>
      </c>
    </row>
    <row r="40" spans="2:27" x14ac:dyDescent="0.25">
      <c r="B40" s="1">
        <v>-0.166247458420579</v>
      </c>
      <c r="C40" s="1">
        <v>-0.16639636225188201</v>
      </c>
      <c r="D40" s="1">
        <v>-0.126969993474318</v>
      </c>
      <c r="E40" s="1">
        <v>-0.152231634927364</v>
      </c>
      <c r="F40" s="1">
        <v>-0.216548144562448</v>
      </c>
      <c r="G40" s="1">
        <v>-0.142859046535628</v>
      </c>
      <c r="H40" s="1">
        <v>0.40415708110590498</v>
      </c>
      <c r="I40" s="1">
        <v>0.51186255667901903</v>
      </c>
      <c r="J40" s="1">
        <v>0.59970567791936802</v>
      </c>
      <c r="K40" s="1">
        <v>0.78438236513666004</v>
      </c>
      <c r="L40" s="1">
        <v>0.70432023884782002</v>
      </c>
      <c r="M40" s="1">
        <v>0.48257119792402797</v>
      </c>
      <c r="P40" s="1">
        <v>-0.16564047504721999</v>
      </c>
      <c r="Q40" s="1">
        <v>-0.102266603525977</v>
      </c>
      <c r="R40" s="1">
        <v>-6.3921482115482306E-2</v>
      </c>
      <c r="S40" s="1">
        <v>-6.3207548534539207E-2</v>
      </c>
      <c r="T40" s="1">
        <v>-0.124115347112283</v>
      </c>
      <c r="U40" s="1">
        <v>-6.7713444598868702E-2</v>
      </c>
      <c r="V40" s="1">
        <v>0.40692016202991999</v>
      </c>
      <c r="W40" s="1">
        <v>0.30464771734534202</v>
      </c>
      <c r="X40" s="1">
        <v>0.22317281521343199</v>
      </c>
      <c r="Y40" s="1">
        <v>0.17677366708716799</v>
      </c>
      <c r="Z40" s="1">
        <v>0.29322029287513901</v>
      </c>
      <c r="AA40" s="1">
        <v>0.32324423422728898</v>
      </c>
    </row>
    <row r="41" spans="2:27" x14ac:dyDescent="0.25">
      <c r="B41" s="1">
        <v>-0.14786468219753601</v>
      </c>
      <c r="C41" s="1">
        <v>-0.144194040219182</v>
      </c>
      <c r="D41" s="1">
        <v>-9.68316104217114E-2</v>
      </c>
      <c r="E41" s="1">
        <v>-0.10922803903044501</v>
      </c>
      <c r="F41" s="1">
        <v>-0.179178055364758</v>
      </c>
      <c r="G41" s="1">
        <v>-0.14528381043903599</v>
      </c>
      <c r="H41" s="1">
        <v>0.34145148052682001</v>
      </c>
      <c r="I41" s="1">
        <v>0.40714954784585</v>
      </c>
      <c r="J41" s="1">
        <v>0.466124324131936</v>
      </c>
      <c r="K41" s="1">
        <v>0.492216149995853</v>
      </c>
      <c r="L41" s="1">
        <v>0.53652355801148999</v>
      </c>
      <c r="M41" s="1">
        <v>0.39693347124446399</v>
      </c>
      <c r="P41" s="1">
        <v>-0.14737696288328</v>
      </c>
      <c r="Q41" s="1">
        <v>-8.1540542204452393E-2</v>
      </c>
      <c r="R41" s="1">
        <v>-3.6691005483164098E-2</v>
      </c>
      <c r="S41" s="1">
        <v>-2.4765818767355102E-2</v>
      </c>
      <c r="T41" s="1">
        <v>-6.9228119852267594E-2</v>
      </c>
      <c r="U41" s="1">
        <v>-5.2638995137983501E-2</v>
      </c>
      <c r="V41" s="1">
        <v>0.27104136394744099</v>
      </c>
      <c r="W41" s="1">
        <v>0.20958424323303401</v>
      </c>
      <c r="X41" s="1">
        <v>8.4847460013061607E-2</v>
      </c>
      <c r="Y41" s="1">
        <v>-2.6079849248114201E-2</v>
      </c>
      <c r="Z41" s="1">
        <v>7.2720755125194797E-2</v>
      </c>
      <c r="AA41" s="1">
        <v>0.240201136423106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任泓瑾</dc:creator>
  <cp:lastModifiedBy>Hongjin Ren (PGR)</cp:lastModifiedBy>
  <dcterms:created xsi:type="dcterms:W3CDTF">2015-06-05T18:19:34Z</dcterms:created>
  <dcterms:modified xsi:type="dcterms:W3CDTF">2026-01-19T23:12:22Z</dcterms:modified>
</cp:coreProperties>
</file>